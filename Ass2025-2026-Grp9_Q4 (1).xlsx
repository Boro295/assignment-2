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Q4 - Least Squares Regression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<sst xmlns="http://schemas.openxmlformats.org/spreadsheetml/2006/main" count="65" uniqueCount="63">
  <si>
    <t xml:space="preserve">CHG 433 – Chemical Engineering Analysis  |  Group 9  |  Q4: Least-Squares Regression for Rate Coefficient</t>
  </si>
  <si>
    <t xml:space="preserve">Reaction: CH₄ + O → CH₃ + OH  |  Model: ln(k) = C + b·ln(T) − D/T  |  Arrhenius form: k = A·T^b · exp(−Eₐ/RT)</t>
  </si>
  <si>
    <t xml:space="preserve">SECTION 1: Input Data &amp; Derived Quantities</t>
  </si>
  <si>
    <t xml:space="preserve">SECTION 2: Cross-Product Sums for Normal Equations</t>
  </si>
  <si>
    <t xml:space="preserve">T (K)</t>
  </si>
  <si>
    <t xml:space="preserve">k × 10²⁰ (m³/s)</t>
  </si>
  <si>
    <t xml:space="preserve">k (m³/s)</t>
  </si>
  <si>
    <t xml:space="preserve">ln(k)</t>
  </si>
  <si>
    <t xml:space="preserve">ln(T)</t>
  </si>
  <si>
    <t xml:space="preserve">1/T (K⁻¹)</t>
  </si>
  <si>
    <t xml:space="preserve">Symbol</t>
  </si>
  <si>
    <t xml:space="preserve">Formula Description</t>
  </si>
  <si>
    <t xml:space="preserve">Value</t>
  </si>
  <si>
    <t xml:space="preserve">Σln(k)</t>
  </si>
  <si>
    <t xml:space="preserve">Σ ln(k)</t>
  </si>
  <si>
    <t xml:space="preserve">Σln(T)</t>
  </si>
  <si>
    <t xml:space="preserve">Σ ln(T)</t>
  </si>
  <si>
    <t xml:space="preserve">Σ(1/T)</t>
  </si>
  <si>
    <t xml:space="preserve">Σ (1/T)</t>
  </si>
  <si>
    <t xml:space="preserve">Σln(T)²</t>
  </si>
  <si>
    <t xml:space="preserve">Σ [ln(T)]²</t>
  </si>
  <si>
    <t xml:space="preserve">Σln(T)/T</t>
  </si>
  <si>
    <t xml:space="preserve">Σ ln(T)/T</t>
  </si>
  <si>
    <t xml:space="preserve">Σ(1/T)²</t>
  </si>
  <si>
    <t xml:space="preserve">Σ (1/T)²</t>
  </si>
  <si>
    <t xml:space="preserve">Σln(k)·ln(T)</t>
  </si>
  <si>
    <t xml:space="preserve">Σ ln(k)·ln(T)</t>
  </si>
  <si>
    <t xml:space="preserve">−Σln(k)/T</t>
  </si>
  <si>
    <t xml:space="preserve">−Σ ln(k)/T</t>
  </si>
  <si>
    <t xml:space="preserve">n = 11</t>
  </si>
  <si>
    <t xml:space="preserve">SECTION 3: Normal Equations  [XᵀX] β = Xᵀy  →  Solving for C, b, D using MINVERSE &amp; MMULT</t>
  </si>
  <si>
    <t xml:space="preserve">[XᵀX] Matrix (3×3)</t>
  </si>
  <si>
    <t xml:space="preserve">Xᵀy Vector</t>
  </si>
  <si>
    <t xml:space="preserve">Solution β</t>
  </si>
  <si>
    <t xml:space="preserve">C  =</t>
  </si>
  <si>
    <t xml:space="preserve">b  =</t>
  </si>
  <si>
    <t xml:space="preserve">D =</t>
  </si>
  <si>
    <t xml:space="preserve">SECTION 4: Arrhenius Parameters  |  k = A·T^b · exp(−Eₐ/RT)</t>
  </si>
  <si>
    <t xml:space="preserve">Parameter</t>
  </si>
  <si>
    <t xml:space="preserve">Description</t>
  </si>
  <si>
    <t xml:space="preserve">C</t>
  </si>
  <si>
    <t xml:space="preserve">Intercept parameter</t>
  </si>
  <si>
    <t xml:space="preserve">b</t>
  </si>
  <si>
    <t xml:space="preserve">Temperature exponent</t>
  </si>
  <si>
    <t xml:space="preserve">D (K)</t>
  </si>
  <si>
    <t xml:space="preserve">Activation parameter (D = Eₐ/R)</t>
  </si>
  <si>
    <t xml:space="preserve">A (m³/s)</t>
  </si>
  <si>
    <t xml:space="preserve">Pre-exponential: A = exp(C)</t>
  </si>
  <si>
    <t xml:space="preserve">Eₐ (J/mol)</t>
  </si>
  <si>
    <t xml:space="preserve">Activation energy: Eₐ = D × R</t>
  </si>
  <si>
    <t xml:space="preserve">Eₐ (kJ/mol)</t>
  </si>
  <si>
    <t xml:space="preserve">Activation energy in kJ/mol</t>
  </si>
  <si>
    <t xml:space="preserve">R (J/mol·K)</t>
  </si>
  <si>
    <t xml:space="preserve">Universal gas constant (given)</t>
  </si>
  <si>
    <t xml:space="preserve">SECTION 5: Goodness of Fit  |  Predicted vs Actual  |  R² Calculation</t>
  </si>
  <si>
    <t xml:space="preserve">ln(k) Actual</t>
  </si>
  <si>
    <t xml:space="preserve">ln(k) Predicted</t>
  </si>
  <si>
    <t xml:space="preserve">Residual</t>
  </si>
  <si>
    <t xml:space="preserve">(Residual)²</t>
  </si>
  <si>
    <t xml:space="preserve">(y−ȳ)²</t>
  </si>
  <si>
    <t xml:space="preserve">Sums</t>
  </si>
  <si>
    <t xml:space="preserve">R² (Coefficient of Determination)</t>
  </si>
  <si>
    <t xml:space="preserve">Note: R² &gt; 0.999 confirms excellent fit of Arrhenius-type model to experimental data.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</si>
</sst>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0.00E+00"/>
    <numFmt numFmtId="166" formatCode="0.0000"/>
    <numFmt numFmtId="167" formatCode="0.00000"/>
    <numFmt numFmtId="168" formatCode="0.0000E+00"/>
    <numFmt numFmtId="169" formatCode="0.0"/>
    <numFmt numFmtId="170" formatCode="0.00"/>
    <numFmt numFmtId="171" formatCode="0.00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11"/>
      <color rgb="FFFFFFFF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sz val="11"/>
      <color rgb="FF000000"/>
      <name val="Arial"/>
      <family val="0"/>
      <charset val="1"/>
    </font>
    <font>
      <i val="true"/>
      <sz val="11"/>
      <color rgb="FF000000"/>
      <name val="Arial"/>
      <family val="0"/>
      <charset val="1"/>
    </font>
    <font>
      <b val="true"/>
      <sz val="12"/>
      <name val="Arial"/>
      <family val="0"/>
      <charset val="1"/>
    </font>
    <font>
      <b val="true"/>
      <sz val="12"/>
      <color rgb="FF000000"/>
      <name val="Arial"/>
      <family val="0"/>
      <charset val="1"/>
    </font>
    <font>
      <i val="true"/>
      <sz val="10"/>
      <color rgb="FF444444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2E75B6"/>
        <bgColor rgb="FF0066CC"/>
      </patternFill>
    </fill>
    <fill>
      <patternFill patternType="solid">
        <fgColor rgb="FFD9E1F2"/>
        <bgColor rgb="FFDEEAF1"/>
      </patternFill>
    </fill>
    <fill>
      <patternFill patternType="solid">
        <fgColor rgb="FFE2EFDA"/>
        <bgColor rgb="FFDEEAF1"/>
      </patternFill>
    </fill>
    <fill>
      <patternFill patternType="solid">
        <fgColor rgb="FFDEEAF1"/>
        <bgColor rgb="FFD9E1F2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 diagonalUp="false" diagonalDown="false">
      <left style="thin">
        <color rgb="FFAAAAAA"/>
      </left>
      <right/>
      <top style="thin">
        <color rgb="FFAAAAAA"/>
      </top>
      <bottom style="thin">
        <color rgb="FFAAAAA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9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1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EEAF1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AAAAAA"/>
      <rgbColor rgb="FF003366"/>
      <rgbColor rgb="FF339966"/>
      <rgbColor rgb="FF003300"/>
      <rgbColor rgb="FF333300"/>
      <rgbColor rgb="FF993300"/>
      <rgbColor rgb="FF993366"/>
      <rgbColor rgb="FF1F4E79"/>
      <rgbColor rgb="FF44444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6"/>
    <col collapsed="false" customWidth="true" hidden="false" outlineLevel="0" max="3" min="3" style="0" width="14"/>
    <col collapsed="false" customWidth="true" hidden="false" outlineLevel="0" max="5" min="4" style="0" width="12"/>
    <col collapsed="false" customWidth="true" hidden="false" outlineLevel="0" max="6" min="6" style="0" width="14"/>
    <col collapsed="false" customWidth="true" hidden="false" outlineLevel="0" max="7" min="7" style="0" width="4"/>
    <col collapsed="false" customWidth="true" hidden="false" outlineLevel="0" max="8" min="8" style="0" width="16"/>
    <col collapsed="false" customWidth="true" hidden="false" outlineLevel="0" max="9" min="9" style="0" width="14"/>
    <col collapsed="false" customWidth="true" hidden="false" outlineLevel="0" max="11" min="10" style="0" width="18"/>
    <col collapsed="false" customWidth="true" hidden="false" outlineLevel="0" max="12" min="12" style="0" width="4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21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4" customFormat="false" ht="19.5" hidden="false" customHeight="true" outlineLevel="0" collapsed="false">
      <c r="A4" s="3" t="s">
        <v>2</v>
      </c>
      <c r="B4" s="3"/>
      <c r="C4" s="3"/>
      <c r="D4" s="3"/>
      <c r="E4" s="3"/>
      <c r="F4" s="3"/>
      <c r="H4" s="3" t="s">
        <v>3</v>
      </c>
      <c r="I4" s="3"/>
      <c r="J4" s="3"/>
      <c r="K4" s="3"/>
      <c r="L4" s="3"/>
    </row>
    <row r="5" customFormat="false" ht="15" hidden="false" customHeight="false" outlineLevel="0" collapsed="false">
      <c r="A5" s="4" t="s">
        <v>4</v>
      </c>
      <c r="B5" s="4" t="s">
        <v>5</v>
      </c>
      <c r="C5" s="4" t="s">
        <v>6</v>
      </c>
      <c r="D5" s="4" t="s">
        <v>7</v>
      </c>
      <c r="E5" s="4" t="s">
        <v>8</v>
      </c>
      <c r="F5" s="4" t="s">
        <v>9</v>
      </c>
      <c r="H5" s="4" t="s">
        <v>10</v>
      </c>
      <c r="I5" s="4" t="s">
        <v>11</v>
      </c>
      <c r="J5" s="4" t="s">
        <v>12</v>
      </c>
    </row>
    <row r="6" customFormat="false" ht="15" hidden="false" customHeight="false" outlineLevel="0" collapsed="false">
      <c r="A6" s="5" t="n">
        <v>595</v>
      </c>
      <c r="B6" s="5" t="n">
        <v>2.12</v>
      </c>
      <c r="C6" s="6" t="n">
        <f aca="false">B6*1E-020</f>
        <v>2.12E-020</v>
      </c>
      <c r="D6" s="7" t="n">
        <f aca="false">LN(C6)</f>
        <v>-45.300285771197</v>
      </c>
      <c r="E6" s="7" t="n">
        <f aca="false">LN(A6)</f>
        <v>6.38856140554563</v>
      </c>
      <c r="F6" s="8" t="n">
        <f aca="false">1/A6</f>
        <v>0.00168067226890756</v>
      </c>
      <c r="H6" s="9" t="s">
        <v>13</v>
      </c>
      <c r="I6" s="10" t="s">
        <v>14</v>
      </c>
      <c r="J6" s="11" t="n">
        <f aca="false">D17</f>
        <v>-459.261762209365</v>
      </c>
    </row>
    <row r="7" customFormat="false" ht="15" hidden="false" customHeight="false" outlineLevel="0" collapsed="false">
      <c r="A7" s="5" t="n">
        <v>623</v>
      </c>
      <c r="B7" s="5" t="n">
        <v>3.12</v>
      </c>
      <c r="C7" s="6" t="n">
        <f aca="false">B7*1E-020</f>
        <v>3.12E-020</v>
      </c>
      <c r="D7" s="7" t="n">
        <f aca="false">LN(C7)</f>
        <v>-44.9138688580595</v>
      </c>
      <c r="E7" s="7" t="n">
        <f aca="false">LN(A7)</f>
        <v>6.43454651878745</v>
      </c>
      <c r="F7" s="8" t="n">
        <f aca="false">1/A7</f>
        <v>0.00160513643659711</v>
      </c>
      <c r="H7" s="9" t="s">
        <v>15</v>
      </c>
      <c r="I7" s="10" t="s">
        <v>16</v>
      </c>
      <c r="J7" s="11" t="n">
        <f aca="false">E17</f>
        <v>76.0761494884942</v>
      </c>
    </row>
    <row r="8" customFormat="false" ht="15" hidden="false" customHeight="false" outlineLevel="0" collapsed="false">
      <c r="A8" s="5" t="n">
        <v>761</v>
      </c>
      <c r="B8" s="5" t="n">
        <v>14.4</v>
      </c>
      <c r="C8" s="6" t="n">
        <f aca="false">B8*1E-020</f>
        <v>1.44E-019</v>
      </c>
      <c r="D8" s="7" t="n">
        <f aca="false">LN(C8)</f>
        <v>-43.384473653299</v>
      </c>
      <c r="E8" s="7" t="n">
        <f aca="false">LN(A8)</f>
        <v>6.63463335786169</v>
      </c>
      <c r="F8" s="8" t="n">
        <f aca="false">1/A8</f>
        <v>0.00131406044678055</v>
      </c>
      <c r="H8" s="9" t="s">
        <v>17</v>
      </c>
      <c r="I8" s="10" t="s">
        <v>18</v>
      </c>
      <c r="J8" s="11" t="n">
        <f aca="false">F17</f>
        <v>0.0114785983233034</v>
      </c>
    </row>
    <row r="9" customFormat="false" ht="15" hidden="false" customHeight="false" outlineLevel="0" collapsed="false">
      <c r="A9" s="5" t="n">
        <v>849</v>
      </c>
      <c r="B9" s="5" t="n">
        <v>30.6</v>
      </c>
      <c r="C9" s="6" t="n">
        <f aca="false">B9*1E-020</f>
        <v>3.06E-019</v>
      </c>
      <c r="D9" s="7" t="n">
        <f aca="false">LN(C9)</f>
        <v>-42.6307018509226</v>
      </c>
      <c r="E9" s="7" t="n">
        <f aca="false">LN(A9)</f>
        <v>6.74405918631135</v>
      </c>
      <c r="F9" s="8" t="n">
        <f aca="false">1/A9</f>
        <v>0.00117785630153121</v>
      </c>
      <c r="H9" s="9" t="s">
        <v>19</v>
      </c>
      <c r="I9" s="10" t="s">
        <v>20</v>
      </c>
      <c r="J9" s="11" t="n">
        <f aca="false">SUMPRODUCT(E6:E16,E6:E16)</f>
        <v>527.234788914379</v>
      </c>
    </row>
    <row r="10" customFormat="false" ht="15" hidden="false" customHeight="false" outlineLevel="0" collapsed="false">
      <c r="A10" s="5" t="n">
        <v>989</v>
      </c>
      <c r="B10" s="5" t="n">
        <v>80.3</v>
      </c>
      <c r="C10" s="6" t="n">
        <f aca="false">B10*1E-020</f>
        <v>8.03E-019</v>
      </c>
      <c r="D10" s="7" t="n">
        <f aca="false">LN(C10)</f>
        <v>-41.6659322389282</v>
      </c>
      <c r="E10" s="7" t="n">
        <f aca="false">LN(A10)</f>
        <v>6.89669433162271</v>
      </c>
      <c r="F10" s="8" t="n">
        <f aca="false">1/A10</f>
        <v>0.00101112234580384</v>
      </c>
      <c r="H10" s="9" t="s">
        <v>21</v>
      </c>
      <c r="I10" s="10" t="s">
        <v>22</v>
      </c>
      <c r="J10" s="11" t="n">
        <f aca="false">SUMPRODUCT(E6:E16,F6:F16)</f>
        <v>0.0782107166312634</v>
      </c>
    </row>
    <row r="11" customFormat="false" ht="15" hidden="false" customHeight="false" outlineLevel="0" collapsed="false">
      <c r="A11" s="5" t="n">
        <v>1076</v>
      </c>
      <c r="B11" s="5" t="n">
        <v>131</v>
      </c>
      <c r="C11" s="6" t="n">
        <f aca="false">B11*1E-020</f>
        <v>1.31E-018</v>
      </c>
      <c r="D11" s="7" t="n">
        <f aca="false">LN(C11)</f>
        <v>-41.1765045366798</v>
      </c>
      <c r="E11" s="7" t="n">
        <f aca="false">LN(A11)</f>
        <v>6.98100574072173</v>
      </c>
      <c r="F11" s="8" t="n">
        <f aca="false">1/A11</f>
        <v>0.000929368029739777</v>
      </c>
      <c r="H11" s="9" t="s">
        <v>23</v>
      </c>
      <c r="I11" s="10" t="s">
        <v>24</v>
      </c>
      <c r="J11" s="11" t="n">
        <f aca="false">SUMPRODUCT(F6:F16,F6:F16)</f>
        <v>1.32672474680313E-005</v>
      </c>
    </row>
    <row r="12" customFormat="false" ht="15" hidden="false" customHeight="false" outlineLevel="0" collapsed="false">
      <c r="A12" s="5" t="n">
        <v>1146</v>
      </c>
      <c r="B12" s="5" t="n">
        <v>186</v>
      </c>
      <c r="C12" s="6" t="n">
        <f aca="false">B12*1E-020</f>
        <v>1.86E-018</v>
      </c>
      <c r="D12" s="7" t="n">
        <f aca="false">LN(C12)</f>
        <v>-40.8259551861677</v>
      </c>
      <c r="E12" s="7" t="n">
        <f aca="false">LN(A12)</f>
        <v>7.04403289727469</v>
      </c>
      <c r="F12" s="8" t="n">
        <f aca="false">1/A12</f>
        <v>0.00087260034904014</v>
      </c>
      <c r="H12" s="9" t="s">
        <v>25</v>
      </c>
      <c r="I12" s="10" t="s">
        <v>26</v>
      </c>
      <c r="J12" s="11" t="n">
        <f aca="false">SUMPRODUCT(D6:D16,E6:E16)</f>
        <v>-3169.46105325654</v>
      </c>
    </row>
    <row r="13" customFormat="false" ht="15" hidden="false" customHeight="false" outlineLevel="0" collapsed="false">
      <c r="A13" s="5" t="n">
        <v>1202</v>
      </c>
      <c r="B13" s="5" t="n">
        <v>240</v>
      </c>
      <c r="C13" s="6" t="n">
        <f aca="false">B13*1E-020</f>
        <v>2.4E-018</v>
      </c>
      <c r="D13" s="7" t="n">
        <f aca="false">LN(C13)</f>
        <v>-40.5710629365389</v>
      </c>
      <c r="E13" s="7" t="n">
        <f aca="false">LN(A13)</f>
        <v>7.09174211509515</v>
      </c>
      <c r="F13" s="8" t="n">
        <f aca="false">1/A13</f>
        <v>0.000831946755407654</v>
      </c>
      <c r="H13" s="9" t="s">
        <v>27</v>
      </c>
      <c r="I13" s="10" t="s">
        <v>28</v>
      </c>
      <c r="J13" s="11" t="n">
        <f aca="false">-SUMPRODUCT(D6:D16,F6:F16)</f>
        <v>0.486656377030388</v>
      </c>
    </row>
    <row r="14" customFormat="false" ht="15" hidden="false" customHeight="false" outlineLevel="0" collapsed="false">
      <c r="A14" s="5" t="n">
        <v>1382</v>
      </c>
      <c r="B14" s="5" t="n">
        <v>489</v>
      </c>
      <c r="C14" s="6" t="n">
        <f aca="false">B14*1E-020</f>
        <v>4.89E-018</v>
      </c>
      <c r="D14" s="7" t="n">
        <f aca="false">LN(C14)</f>
        <v>-39.859339370406</v>
      </c>
      <c r="E14" s="7" t="n">
        <f aca="false">LN(A14)</f>
        <v>7.23128700432762</v>
      </c>
      <c r="F14" s="8" t="n">
        <f aca="false">1/A14</f>
        <v>0.000723589001447178</v>
      </c>
    </row>
    <row r="15" customFormat="false" ht="15" hidden="false" customHeight="false" outlineLevel="0" collapsed="false">
      <c r="A15" s="5" t="n">
        <v>1445</v>
      </c>
      <c r="B15" s="5" t="n">
        <v>604</v>
      </c>
      <c r="C15" s="6" t="n">
        <f aca="false">B15*1E-020</f>
        <v>6.04E-018</v>
      </c>
      <c r="D15" s="7" t="n">
        <f aca="false">LN(C15)</f>
        <v>-39.6481276619461</v>
      </c>
      <c r="E15" s="7" t="n">
        <f aca="false">LN(A15)</f>
        <v>7.27586460054653</v>
      </c>
      <c r="F15" s="8" t="n">
        <f aca="false">1/A15</f>
        <v>0.00069204152249135</v>
      </c>
    </row>
    <row r="16" customFormat="false" ht="15" hidden="false" customHeight="false" outlineLevel="0" collapsed="false">
      <c r="A16" s="5" t="n">
        <v>1562</v>
      </c>
      <c r="B16" s="5" t="n">
        <v>868</v>
      </c>
      <c r="C16" s="6" t="n">
        <f aca="false">B16*1E-020</f>
        <v>8.68E-018</v>
      </c>
      <c r="D16" s="7" t="n">
        <f aca="false">LN(C16)</f>
        <v>-39.2855101452206</v>
      </c>
      <c r="E16" s="7" t="n">
        <f aca="false">LN(A16)</f>
        <v>7.35372233039963</v>
      </c>
      <c r="F16" s="8" t="n">
        <f aca="false">1/A16</f>
        <v>0.000640204865556978</v>
      </c>
    </row>
    <row r="17" customFormat="false" ht="18" hidden="false" customHeight="true" outlineLevel="0" collapsed="false">
      <c r="A17" s="12" t="s">
        <v>29</v>
      </c>
      <c r="B17" s="13"/>
      <c r="C17" s="13"/>
      <c r="D17" s="14" t="n">
        <f aca="false">SUM(D6:D16)</f>
        <v>-459.261762209365</v>
      </c>
      <c r="E17" s="14" t="n">
        <f aca="false">SUM(E6:E16)</f>
        <v>76.0761494884942</v>
      </c>
      <c r="F17" s="15" t="n">
        <f aca="false">SUM(F6:F16)</f>
        <v>0.0114785983233034</v>
      </c>
    </row>
    <row r="20" customFormat="false" ht="19.5" hidden="false" customHeight="true" outlineLevel="0" collapsed="false">
      <c r="A20" s="3" t="s">
        <v>30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customFormat="false" ht="15" hidden="false" customHeight="false" outlineLevel="0" collapsed="false">
      <c r="A21" s="4" t="s">
        <v>31</v>
      </c>
      <c r="B21" s="4"/>
      <c r="C21" s="4"/>
      <c r="D21" s="4"/>
      <c r="E21" s="4" t="s">
        <v>32</v>
      </c>
      <c r="F21" s="4"/>
      <c r="H21" s="4" t="s">
        <v>33</v>
      </c>
      <c r="I21" s="4"/>
    </row>
    <row r="22" customFormat="false" ht="15" hidden="false" customHeight="false" outlineLevel="0" collapsed="false">
      <c r="A22" s="7" t="n">
        <f aca="false">11</f>
        <v>11</v>
      </c>
      <c r="B22" s="7" t="n">
        <f aca="false">E17</f>
        <v>76.0761494884942</v>
      </c>
      <c r="C22" s="7" t="n">
        <f aca="false">-F17</f>
        <v>-0.0114785983233034</v>
      </c>
      <c r="E22" s="16" t="n">
        <f aca="false">D17</f>
        <v>-459.261762209365</v>
      </c>
      <c r="H22" s="17" t="s">
        <v>34</v>
      </c>
      <c r="I22" s="14" t="n">
        <f aca="false">INDEX(MMULT(MINVERSE(A22:C24),E22:E24),1,1)</f>
        <v>-52.4427235795301</v>
      </c>
    </row>
    <row r="23" customFormat="false" ht="15" hidden="false" customHeight="false" outlineLevel="0" collapsed="false">
      <c r="A23" s="7" t="n">
        <f aca="false">E17</f>
        <v>76.0761494884942</v>
      </c>
      <c r="B23" s="7" t="n">
        <f aca="false">SUMPRODUCT(E6:E16,E6:E16)</f>
        <v>527.234788914379</v>
      </c>
      <c r="C23" s="7" t="n">
        <f aca="false">-SUMPRODUCT(E6:E16,F6:F16)</f>
        <v>-0.0782107166312634</v>
      </c>
      <c r="E23" s="16" t="n">
        <f aca="false">SUMPRODUCT(D6:D16,E6:E16)</f>
        <v>-3169.46105325654</v>
      </c>
      <c r="H23" s="17" t="s">
        <v>35</v>
      </c>
      <c r="I23" s="14" t="n">
        <f aca="false">INDEX(MMULT(MINVERSE(A22:C24),E22:E24),2,1)</f>
        <v>2.12159754402455</v>
      </c>
    </row>
    <row r="24" customFormat="false" ht="15" hidden="false" customHeight="false" outlineLevel="0" collapsed="false">
      <c r="A24" s="7" t="n">
        <f aca="false">-F17</f>
        <v>-0.0114785983233034</v>
      </c>
      <c r="B24" s="7" t="n">
        <f aca="false">-SUMPRODUCT(E6:E16,F6:F16)</f>
        <v>-0.0782107166312634</v>
      </c>
      <c r="C24" s="7" t="n">
        <f aca="false">SUMPRODUCT(F6:F16,F6:F16)</f>
        <v>1.32672474680313E-005</v>
      </c>
      <c r="E24" s="16" t="n">
        <f aca="false">-SUMPRODUCT(D6:D16,F6:F16)</f>
        <v>0.486656377030388</v>
      </c>
      <c r="H24" s="17" t="s">
        <v>36</v>
      </c>
      <c r="I24" s="14" t="n">
        <f aca="false">INDEX(MMULT(MINVERSE(A22:C24),E22:E24),3,1)</f>
        <v>3815.34169187024</v>
      </c>
    </row>
    <row r="27" customFormat="false" ht="19.5" hidden="false" customHeight="true" outlineLevel="0" collapsed="false">
      <c r="A27" s="3" t="s">
        <v>37</v>
      </c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customFormat="false" ht="15" hidden="false" customHeight="false" outlineLevel="0" collapsed="false">
      <c r="A28" s="4" t="s">
        <v>38</v>
      </c>
      <c r="B28" s="4" t="s">
        <v>12</v>
      </c>
      <c r="C28" s="4" t="s">
        <v>39</v>
      </c>
      <c r="D28" s="4"/>
      <c r="E28" s="4"/>
      <c r="F28" s="4"/>
    </row>
    <row r="29" customFormat="false" ht="15" hidden="false" customHeight="false" outlineLevel="0" collapsed="false">
      <c r="A29" s="18" t="s">
        <v>40</v>
      </c>
      <c r="B29" s="14" t="n">
        <f aca="false">I22</f>
        <v>-52.4427235795301</v>
      </c>
      <c r="C29" s="19" t="s">
        <v>41</v>
      </c>
      <c r="D29" s="19"/>
      <c r="E29" s="19"/>
      <c r="F29" s="19"/>
    </row>
    <row r="30" customFormat="false" ht="15" hidden="false" customHeight="false" outlineLevel="0" collapsed="false">
      <c r="A30" s="18" t="s">
        <v>42</v>
      </c>
      <c r="B30" s="14" t="n">
        <f aca="false">I23</f>
        <v>2.12159754402455</v>
      </c>
      <c r="C30" s="19" t="s">
        <v>43</v>
      </c>
      <c r="D30" s="19"/>
      <c r="E30" s="19"/>
      <c r="F30" s="19"/>
    </row>
    <row r="31" customFormat="false" ht="15" hidden="false" customHeight="false" outlineLevel="0" collapsed="false">
      <c r="A31" s="18" t="s">
        <v>44</v>
      </c>
      <c r="B31" s="20" t="n">
        <f aca="false">I24</f>
        <v>3815.34169187024</v>
      </c>
      <c r="C31" s="19" t="s">
        <v>45</v>
      </c>
      <c r="D31" s="19"/>
      <c r="E31" s="19"/>
      <c r="F31" s="19"/>
    </row>
    <row r="32" customFormat="false" ht="15" hidden="false" customHeight="false" outlineLevel="0" collapsed="false">
      <c r="A32" s="18" t="s">
        <v>46</v>
      </c>
      <c r="B32" s="21" t="n">
        <f aca="false">EXP(I22)</f>
        <v>1.67654236972869E-023</v>
      </c>
      <c r="C32" s="19" t="s">
        <v>47</v>
      </c>
      <c r="D32" s="19"/>
      <c r="E32" s="19"/>
      <c r="F32" s="19"/>
    </row>
    <row r="33" customFormat="false" ht="15" hidden="false" customHeight="false" outlineLevel="0" collapsed="false">
      <c r="A33" s="18" t="s">
        <v>48</v>
      </c>
      <c r="B33" s="20" t="n">
        <f aca="false">I24*8.314</f>
        <v>31720.7508262092</v>
      </c>
      <c r="C33" s="19" t="s">
        <v>49</v>
      </c>
      <c r="D33" s="19"/>
      <c r="E33" s="19"/>
      <c r="F33" s="19"/>
    </row>
    <row r="34" customFormat="false" ht="15" hidden="false" customHeight="false" outlineLevel="0" collapsed="false">
      <c r="A34" s="18" t="s">
        <v>50</v>
      </c>
      <c r="B34" s="22" t="n">
        <f aca="false">I24*8.314/1000</f>
        <v>31.7207508262092</v>
      </c>
      <c r="C34" s="19" t="s">
        <v>51</v>
      </c>
      <c r="D34" s="19"/>
      <c r="E34" s="19"/>
      <c r="F34" s="19"/>
    </row>
    <row r="35" customFormat="false" ht="15" hidden="false" customHeight="false" outlineLevel="0" collapsed="false">
      <c r="A35" s="18" t="s">
        <v>52</v>
      </c>
      <c r="B35" s="23" t="n">
        <v>8.314</v>
      </c>
      <c r="C35" s="19" t="s">
        <v>53</v>
      </c>
      <c r="D35" s="19"/>
      <c r="E35" s="19"/>
      <c r="F35" s="19"/>
    </row>
    <row r="37" customFormat="false" ht="19.5" hidden="false" customHeight="true" outlineLevel="0" collapsed="false">
      <c r="A37" s="3" t="s">
        <v>54</v>
      </c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customFormat="false" ht="15" hidden="false" customHeight="false" outlineLevel="0" collapsed="false">
      <c r="A38" s="4" t="s">
        <v>4</v>
      </c>
      <c r="B38" s="4" t="s">
        <v>55</v>
      </c>
      <c r="C38" s="4" t="s">
        <v>56</v>
      </c>
      <c r="D38" s="4" t="s">
        <v>57</v>
      </c>
      <c r="E38" s="4" t="s">
        <v>58</v>
      </c>
      <c r="F38" s="4" t="s">
        <v>59</v>
      </c>
    </row>
    <row r="39" customFormat="false" ht="15" hidden="false" customHeight="false" outlineLevel="0" collapsed="false">
      <c r="A39" s="5" t="n">
        <v>595</v>
      </c>
      <c r="B39" s="7" t="n">
        <f aca="false">D6</f>
        <v>-45.300285771197</v>
      </c>
      <c r="C39" s="16" t="n">
        <f aca="false">I22+I23*LN(A6)-I24/A6</f>
        <v>-45.3011063696077</v>
      </c>
      <c r="D39" s="7" t="n">
        <f aca="false">B39-C39</f>
        <v>0.00082059841067661</v>
      </c>
      <c r="E39" s="6" t="n">
        <f aca="false">(B39-C39)^2</f>
        <v>6.73381751604978E-007</v>
      </c>
      <c r="F39" s="6" t="n">
        <f aca="false">(B39-AVERAGE(B39:B49))^2</f>
        <v>12.5969376179036</v>
      </c>
    </row>
    <row r="40" customFormat="false" ht="15" hidden="false" customHeight="false" outlineLevel="0" collapsed="false">
      <c r="A40" s="5" t="n">
        <v>623</v>
      </c>
      <c r="B40" s="7" t="n">
        <f aca="false">D7</f>
        <v>-44.9138688580595</v>
      </c>
      <c r="C40" s="16" t="n">
        <f aca="false">I22+I23*LN(A7)-I24/A7</f>
        <v>-44.9153494560479</v>
      </c>
      <c r="D40" s="7" t="n">
        <f aca="false">B40-C40</f>
        <v>0.0014805979884116</v>
      </c>
      <c r="E40" s="6" t="n">
        <f aca="false">(B40-C40)^2</f>
        <v>2.19217040328848E-006</v>
      </c>
      <c r="F40" s="6" t="n">
        <f aca="false">(B40-AVERAGE(B39:B49))^2</f>
        <v>10.0033010965814</v>
      </c>
    </row>
    <row r="41" customFormat="false" ht="15" hidden="false" customHeight="false" outlineLevel="0" collapsed="false">
      <c r="A41" s="5" t="n">
        <v>761</v>
      </c>
      <c r="B41" s="7" t="n">
        <f aca="false">D8</f>
        <v>-43.384473653299</v>
      </c>
      <c r="C41" s="16" t="n">
        <f aca="false">I22+I23*LN(A8)-I24/A8</f>
        <v>-43.3802913502269</v>
      </c>
      <c r="D41" s="7" t="n">
        <f aca="false">B41-C41</f>
        <v>-0.00418230307207068</v>
      </c>
      <c r="E41" s="6" t="n">
        <f aca="false">(B41-C41)^2</f>
        <v>1.74916589866519E-005</v>
      </c>
      <c r="F41" s="6" t="n">
        <f aca="false">(B41-AVERAGE(B39:B49))^2</f>
        <v>2.66800980829291</v>
      </c>
    </row>
    <row r="42" customFormat="false" ht="15" hidden="false" customHeight="false" outlineLevel="0" collapsed="false">
      <c r="A42" s="5" t="n">
        <v>849</v>
      </c>
      <c r="B42" s="7" t="n">
        <f aca="false">D9</f>
        <v>-42.6307018509226</v>
      </c>
      <c r="C42" s="16" t="n">
        <f aca="false">I22+I23*LN(A9)-I24/A9</f>
        <v>-42.6284684273599</v>
      </c>
      <c r="D42" s="7" t="n">
        <f aca="false">B42-C42</f>
        <v>-0.00223342356269285</v>
      </c>
      <c r="E42" s="6" t="n">
        <f aca="false">(B42-C42)^2</f>
        <v>4.98818081039162E-006</v>
      </c>
      <c r="F42" s="6" t="n">
        <f aca="false">(B42-AVERAGE(B39:B49))^2</f>
        <v>0.773753439138048</v>
      </c>
    </row>
    <row r="43" customFormat="false" ht="15" hidden="false" customHeight="false" outlineLevel="0" collapsed="false">
      <c r="A43" s="5" t="n">
        <v>989</v>
      </c>
      <c r="B43" s="7" t="n">
        <f aca="false">D10</f>
        <v>-41.6659322389282</v>
      </c>
      <c r="C43" s="16" t="n">
        <f aca="false">I22+I23*LN(A10)-I24/A10</f>
        <v>-41.6684910651984</v>
      </c>
      <c r="D43" s="7" t="n">
        <f aca="false">B43-C43</f>
        <v>0.00255882627017456</v>
      </c>
      <c r="E43" s="6" t="n">
        <f aca="false">(B43-C43)^2</f>
        <v>6.54759188093547E-006</v>
      </c>
      <c r="F43" s="6" t="n">
        <f aca="false">(B43-AVERAGE(B39:B49))^2</f>
        <v>0.00724831776496771</v>
      </c>
    </row>
    <row r="44" customFormat="false" ht="15" hidden="false" customHeight="false" outlineLevel="0" collapsed="false">
      <c r="A44" s="5" t="n">
        <v>1076</v>
      </c>
      <c r="B44" s="7" t="n">
        <f aca="false">D11</f>
        <v>-41.1765045366798</v>
      </c>
      <c r="C44" s="16" t="n">
        <f aca="false">I22+I23*LN(A11)-I24/A11</f>
        <v>-41.1776955361511</v>
      </c>
      <c r="D44" s="7" t="n">
        <f aca="false">B44-C44</f>
        <v>0.00119099947132639</v>
      </c>
      <c r="E44" s="6" t="n">
        <f aca="false">(B44-C44)^2</f>
        <v>1.41847974069975E-006</v>
      </c>
      <c r="F44" s="6" t="n">
        <f aca="false">(B44-AVERAGE(B39:B49))^2</f>
        <v>0.33012465778097</v>
      </c>
    </row>
    <row r="45" customFormat="false" ht="15" hidden="false" customHeight="false" outlineLevel="0" collapsed="false">
      <c r="A45" s="5" t="n">
        <v>1146</v>
      </c>
      <c r="B45" s="7" t="n">
        <f aca="false">D12</f>
        <v>-40.8259551861677</v>
      </c>
      <c r="C45" s="16" t="n">
        <f aca="false">I22+I23*LN(A12)-I24/A12</f>
        <v>-40.8273891766774</v>
      </c>
      <c r="D45" s="7" t="n">
        <f aca="false">B45-C45</f>
        <v>0.00143399050966764</v>
      </c>
      <c r="E45" s="6" t="n">
        <f aca="false">(B45-C45)^2</f>
        <v>2.05632878181685E-006</v>
      </c>
      <c r="F45" s="6" t="n">
        <f aca="false">(B45-AVERAGE(B39:B49))^2</f>
        <v>0.855836108366722</v>
      </c>
    </row>
    <row r="46" customFormat="false" ht="15" hidden="false" customHeight="false" outlineLevel="0" collapsed="false">
      <c r="A46" s="5" t="n">
        <v>1202</v>
      </c>
      <c r="B46" s="7" t="n">
        <f aca="false">D13</f>
        <v>-40.5710629365389</v>
      </c>
      <c r="C46" s="16" t="n">
        <f aca="false">I22+I23*LN(A13)-I24/A13</f>
        <v>-40.5710620666118</v>
      </c>
      <c r="D46" s="7" t="n">
        <f aca="false">B46-C46</f>
        <v>-8.69927148983152E-007</v>
      </c>
      <c r="E46" s="6" t="n">
        <f aca="false">(B46-C46)^2</f>
        <v>7.56773244537955E-013</v>
      </c>
      <c r="F46" s="6" t="n">
        <f aca="false">(B46-AVERAGE(B39:B49))^2</f>
        <v>1.39241499836328</v>
      </c>
    </row>
    <row r="47" customFormat="false" ht="15" hidden="false" customHeight="false" outlineLevel="0" collapsed="false">
      <c r="A47" s="5" t="n">
        <v>1382</v>
      </c>
      <c r="B47" s="7" t="n">
        <f aca="false">D14</f>
        <v>-39.859339370406</v>
      </c>
      <c r="C47" s="16" t="n">
        <f aca="false">I22+I23*LN(A14)-I24/A14</f>
        <v>-39.8615821160122</v>
      </c>
      <c r="D47" s="7" t="n">
        <f aca="false">B47-C47</f>
        <v>0.00224274560613935</v>
      </c>
      <c r="E47" s="6" t="n">
        <f aca="false">(B47-C47)^2</f>
        <v>5.02990785385737E-006</v>
      </c>
      <c r="F47" s="6" t="n">
        <f aca="false">(B47-AVERAGE(B39:B49))^2</f>
        <v>3.5786420953477</v>
      </c>
    </row>
    <row r="48" customFormat="false" ht="15" hidden="false" customHeight="false" outlineLevel="0" collapsed="false">
      <c r="A48" s="5" t="n">
        <v>1445</v>
      </c>
      <c r="B48" s="7" t="n">
        <f aca="false">D15</f>
        <v>-39.6481276619461</v>
      </c>
      <c r="C48" s="16" t="n">
        <f aca="false">I22+I23*LN(A15)-I24/A15</f>
        <v>-39.646641985622</v>
      </c>
      <c r="D48" s="7" t="n">
        <f aca="false">B48-C48</f>
        <v>-0.00148567632406582</v>
      </c>
      <c r="E48" s="6" t="n">
        <f aca="false">(B48-C48)^2</f>
        <v>2.20723413988973E-006</v>
      </c>
      <c r="F48" s="6" t="n">
        <f aca="false">(B48-AVERAGE(B39:B49))^2</f>
        <v>4.4223634984064</v>
      </c>
    </row>
    <row r="49" customFormat="false" ht="15" hidden="false" customHeight="false" outlineLevel="0" collapsed="false">
      <c r="A49" s="5" t="n">
        <v>1562</v>
      </c>
      <c r="B49" s="7" t="n">
        <f aca="false">D16</f>
        <v>-39.2855101452206</v>
      </c>
      <c r="C49" s="16" t="n">
        <f aca="false">I22+I23*LN(A16)-I24/A16</f>
        <v>-39.2836846588135</v>
      </c>
      <c r="D49" s="7" t="n">
        <f aca="false">B49-C49</f>
        <v>-0.00182548640707125</v>
      </c>
      <c r="E49" s="6" t="n">
        <f aca="false">(B49-C49)^2</f>
        <v>3.33240062240191E-006</v>
      </c>
      <c r="F49" s="6" t="n">
        <f aca="false">(B49-AVERAGE(B39:B49))^2</f>
        <v>6.07898190508668</v>
      </c>
    </row>
    <row r="50" customFormat="false" ht="15" hidden="false" customHeight="false" outlineLevel="0" collapsed="false">
      <c r="A50" s="4" t="s">
        <v>60</v>
      </c>
      <c r="D50" s="14" t="n">
        <f aca="false">SUM(D39:D49)</f>
        <v>-1.03665342976456E-009</v>
      </c>
      <c r="E50" s="21" t="n">
        <f aca="false">SUM(E39:E49)</f>
        <v>4.59373357283113E-005</v>
      </c>
      <c r="F50" s="21" t="n">
        <f aca="false">SUM(F39:F49)</f>
        <v>42.7076135430327</v>
      </c>
    </row>
    <row r="52" customFormat="false" ht="21.75" hidden="false" customHeight="true" outlineLevel="0" collapsed="false">
      <c r="A52" s="24" t="s">
        <v>61</v>
      </c>
      <c r="B52" s="24"/>
      <c r="C52" s="24"/>
      <c r="D52" s="25" t="n">
        <f aca="false">1-E50/F50</f>
        <v>0.999998924375962</v>
      </c>
    </row>
    <row r="53" customFormat="false" ht="15" hidden="false" customHeight="false" outlineLevel="0" collapsed="false">
      <c r="A53" s="26" t="s">
        <v>62</v>
      </c>
      <c r="B53" s="26"/>
      <c r="C53" s="26"/>
      <c r="D53" s="26"/>
      <c r="E53" s="26"/>
      <c r="F53" s="26"/>
    </row>
  </sheetData>
  <mergeCells count="20">
    <mergeCell ref="A1:L1"/>
    <mergeCell ref="A2:L2"/>
    <mergeCell ref="A4:F4"/>
    <mergeCell ref="H4:L4"/>
    <mergeCell ref="A20:L20"/>
    <mergeCell ref="A21:D21"/>
    <mergeCell ref="E21:F21"/>
    <mergeCell ref="H21:I21"/>
    <mergeCell ref="A27:L27"/>
    <mergeCell ref="C28:F28"/>
    <mergeCell ref="C29:F29"/>
    <mergeCell ref="C30:F30"/>
    <mergeCell ref="C31:F31"/>
    <mergeCell ref="C32:F32"/>
    <mergeCell ref="C33:F33"/>
    <mergeCell ref="C34:F34"/>
    <mergeCell ref="C35:F35"/>
    <mergeCell ref="A37:L37"/>
    <mergeCell ref="A52:C52"/>
    <mergeCell ref="A53:F5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2026-03-29T19:59:41Z</dcterms:created>
  <dc:creator>openpyxl</dc:creator>
  <dc:description/>
  <dc:language>en-US</dc:language>
  <cp:lastModifiedBy/>
  <dcterms:modified xsi:type="dcterms:W3CDTF">2026-03-29T19:59:41Z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