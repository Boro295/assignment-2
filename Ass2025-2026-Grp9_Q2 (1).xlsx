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Newton-Raphson" sheetId="2" state="visible" r:id="rId2"/>
    <sheet xmlns:r="http://schemas.openxmlformats.org/officeDocument/2006/relationships" name="Bisection Metho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color rgb="00595959"/>
      <sz val="10"/>
    </font>
    <font>
      <name val="Arial"/>
      <i val="1"/>
      <sz val="10"/>
    </font>
    <font>
      <name val="Arial"/>
      <sz val="10"/>
    </font>
    <font>
      <name val="Arial"/>
      <b val="1"/>
      <color rgb="00FFFFFF"/>
      <sz val="12"/>
    </font>
    <font>
      <name val="Arial"/>
      <color rgb="00000000"/>
      <sz val="9"/>
    </font>
    <font>
      <name val="Arial"/>
      <color rgb="00595959"/>
      <sz val="9"/>
    </font>
    <font>
      <name val="Arial"/>
      <color rgb="007F0000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color rgb="00375623"/>
      <sz val="11"/>
    </font>
    <font>
      <name val="Arial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 ht="24" customHeight="1">
      <c r="A1" s="1" t="inlineStr">
        <is>
          <t>RTD (Nickel) – Find Temperature when R_T = 300 Ω</t>
        </is>
      </c>
    </row>
    <row r="3">
      <c r="A3" s="2" t="inlineStr">
        <is>
          <t>Resistance Model:   R_T = R₀(1 + AT + BT² + CT⁴ + DT⁶)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Description</t>
        </is>
      </c>
      <c r="E4" s="4" t="n"/>
      <c r="F4" s="5" t="n"/>
    </row>
    <row r="5" ht="15" customHeight="1">
      <c r="A5" s="6" t="inlineStr">
        <is>
          <t>R₀</t>
        </is>
      </c>
      <c r="B5" s="7" t="inlineStr">
        <is>
          <t>100</t>
        </is>
      </c>
      <c r="C5" s="8" t="inlineStr">
        <is>
          <t>Ω</t>
        </is>
      </c>
      <c r="D5" s="9" t="inlineStr">
        <is>
          <t>Resistance at 0°C</t>
        </is>
      </c>
    </row>
    <row r="6" ht="15" customHeight="1">
      <c r="A6" s="6" t="inlineStr">
        <is>
          <t>A</t>
        </is>
      </c>
      <c r="B6" s="7" t="inlineStr">
        <is>
          <t>5.485 × 10⁻³</t>
        </is>
      </c>
      <c r="C6" s="8" t="inlineStr">
        <is>
          <t>°C⁻¹</t>
        </is>
      </c>
      <c r="D6" s="9" t="inlineStr">
        <is>
          <t>Temperature coefficient 1</t>
        </is>
      </c>
    </row>
    <row r="7" ht="15" customHeight="1">
      <c r="A7" s="6" t="inlineStr">
        <is>
          <t>B</t>
        </is>
      </c>
      <c r="B7" s="7" t="inlineStr">
        <is>
          <t>6.65 × 10⁻⁶</t>
        </is>
      </c>
      <c r="C7" s="8" t="inlineStr">
        <is>
          <t>°C⁻²</t>
        </is>
      </c>
      <c r="D7" s="9" t="inlineStr">
        <is>
          <t>Temperature coefficient 2</t>
        </is>
      </c>
    </row>
    <row r="8" ht="15" customHeight="1">
      <c r="A8" s="6" t="inlineStr">
        <is>
          <t>C</t>
        </is>
      </c>
      <c r="B8" s="7" t="inlineStr">
        <is>
          <t>2.805 × 10⁻¹¹</t>
        </is>
      </c>
      <c r="C8" s="8" t="inlineStr">
        <is>
          <t>°C⁻⁴</t>
        </is>
      </c>
      <c r="D8" s="9" t="inlineStr">
        <is>
          <t>Temperature coefficient 4</t>
        </is>
      </c>
    </row>
    <row r="9" ht="15" customHeight="1">
      <c r="A9" s="6" t="inlineStr">
        <is>
          <t>D</t>
        </is>
      </c>
      <c r="B9" s="7" t="inlineStr">
        <is>
          <t>−2 × 10⁻¹⁷</t>
        </is>
      </c>
      <c r="C9" s="8" t="inlineStr">
        <is>
          <t>°C⁻⁶</t>
        </is>
      </c>
      <c r="D9" s="9" t="inlineStr">
        <is>
          <t>Temperature coefficient 6</t>
        </is>
      </c>
    </row>
    <row r="10" ht="15" customHeight="1">
      <c r="A10" s="6" t="inlineStr">
        <is>
          <t>R_target</t>
        </is>
      </c>
      <c r="B10" s="7" t="inlineStr">
        <is>
          <t>300</t>
        </is>
      </c>
      <c r="C10" s="8" t="inlineStr">
        <is>
          <t>Ω</t>
        </is>
      </c>
      <c r="D10" s="9" t="inlineStr">
        <is>
          <t>Target resistance (find T)</t>
        </is>
      </c>
    </row>
    <row r="12">
      <c r="A12" s="2" t="inlineStr">
        <is>
          <t>Root-Finding Problem:  f(T) = R₀(1+AT+BT²+CT⁴+DT⁶) − 300 = 0</t>
        </is>
      </c>
    </row>
    <row r="13">
      <c r="A13" s="10" t="inlineStr">
        <is>
          <t>f′(T) = R₀(A + 2BT + 4CT³ + 6DT⁵)    [needed for Newton-Raphson]</t>
        </is>
      </c>
    </row>
    <row r="14" ht="14" customHeight="1">
      <c r="A14" s="11" t="inlineStr">
        <is>
          <t>Initial guess: T₀ = 270°C  |  Bisection bracket: [200, 400]°C  |  Tolerance: 1×10⁻⁸</t>
        </is>
      </c>
    </row>
  </sheetData>
  <mergeCells count="12">
    <mergeCell ref="D7:F7"/>
    <mergeCell ref="D5:F5"/>
    <mergeCell ref="A13:F13"/>
    <mergeCell ref="A14:F14"/>
    <mergeCell ref="A1:F1"/>
    <mergeCell ref="D4:F4"/>
    <mergeCell ref="D9:F9"/>
    <mergeCell ref="A12:F12"/>
    <mergeCell ref="A3:F3"/>
    <mergeCell ref="D8:F8"/>
    <mergeCell ref="D6:F6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2" t="inlineStr">
        <is>
          <t>2a – Newton-Raphson Method  |  T_{n+1} = T_n − f(T_n)/f′(T_n)</t>
        </is>
      </c>
    </row>
    <row r="3">
      <c r="A3" s="2" t="inlineStr">
        <is>
          <t>2a.5  Excel Spreadsheet Setup (Newton-Raphson Table)</t>
        </is>
      </c>
    </row>
    <row r="4">
      <c r="A4" s="3" t="inlineStr">
        <is>
          <t>Cell</t>
        </is>
      </c>
      <c r="B4" s="3" t="inlineStr">
        <is>
          <t>Content (Formula or Value)</t>
        </is>
      </c>
      <c r="C4" s="3" t="inlineStr">
        <is>
          <t>Note</t>
        </is>
      </c>
    </row>
    <row r="5" ht="14" customHeight="1">
      <c r="A5" s="13" t="inlineStr">
        <is>
          <t>A1</t>
        </is>
      </c>
      <c r="B5" s="14" t="inlineStr">
        <is>
          <t>Constants</t>
        </is>
      </c>
      <c r="C5" s="15" t="inlineStr">
        <is>
          <t>Label</t>
        </is>
      </c>
    </row>
    <row r="6" ht="14" customHeight="1">
      <c r="A6" s="13" t="inlineStr">
        <is>
          <t>B1</t>
        </is>
      </c>
      <c r="B6" s="14" t="inlineStr">
        <is>
          <t>A =</t>
        </is>
      </c>
      <c r="C6" s="15" t="inlineStr"/>
    </row>
    <row r="7" ht="14" customHeight="1">
      <c r="A7" s="13" t="inlineStr">
        <is>
          <t>C1</t>
        </is>
      </c>
      <c r="B7" s="14" t="inlineStr">
        <is>
          <t>5.485E-3</t>
        </is>
      </c>
      <c r="C7" s="15" t="inlineStr">
        <is>
          <t>A value</t>
        </is>
      </c>
    </row>
    <row r="8" ht="14" customHeight="1">
      <c r="A8" s="13" t="inlineStr">
        <is>
          <t>B2</t>
        </is>
      </c>
      <c r="B8" s="14" t="inlineStr">
        <is>
          <t>B =</t>
        </is>
      </c>
      <c r="C8" s="15" t="inlineStr"/>
    </row>
    <row r="9" ht="14" customHeight="1">
      <c r="A9" s="13" t="inlineStr">
        <is>
          <t>C2</t>
        </is>
      </c>
      <c r="B9" s="14" t="inlineStr">
        <is>
          <t>6.65E-6</t>
        </is>
      </c>
      <c r="C9" s="15" t="inlineStr">
        <is>
          <t>B value</t>
        </is>
      </c>
    </row>
    <row r="10" ht="14" customHeight="1">
      <c r="A10" s="13" t="inlineStr">
        <is>
          <t>B3</t>
        </is>
      </c>
      <c r="B10" s="14" t="inlineStr">
        <is>
          <t>C coef =</t>
        </is>
      </c>
      <c r="C10" s="15" t="inlineStr"/>
    </row>
    <row r="11" ht="14" customHeight="1">
      <c r="A11" s="13" t="inlineStr">
        <is>
          <t>C3</t>
        </is>
      </c>
      <c r="B11" s="14" t="inlineStr">
        <is>
          <t>2.805E-11</t>
        </is>
      </c>
      <c r="C11" s="15" t="inlineStr">
        <is>
          <t>C value</t>
        </is>
      </c>
    </row>
    <row r="12" ht="14" customHeight="1">
      <c r="A12" s="13" t="inlineStr">
        <is>
          <t>B4</t>
        </is>
      </c>
      <c r="B12" s="14" t="inlineStr">
        <is>
          <t>D =</t>
        </is>
      </c>
      <c r="C12" s="15" t="inlineStr"/>
    </row>
    <row r="13" ht="14" customHeight="1">
      <c r="A13" s="13" t="inlineStr">
        <is>
          <t>C4</t>
        </is>
      </c>
      <c r="B13" s="14" t="inlineStr">
        <is>
          <t>-2E-17</t>
        </is>
      </c>
      <c r="C13" s="15" t="inlineStr">
        <is>
          <t>D value</t>
        </is>
      </c>
    </row>
    <row r="14" ht="14" customHeight="1">
      <c r="A14" s="13" t="inlineStr">
        <is>
          <t>A6</t>
        </is>
      </c>
      <c r="B14" s="14" t="inlineStr">
        <is>
          <t>Iteration</t>
        </is>
      </c>
      <c r="C14" s="15" t="inlineStr">
        <is>
          <t>Header</t>
        </is>
      </c>
    </row>
    <row r="15" ht="14" customHeight="1">
      <c r="A15" s="13" t="inlineStr">
        <is>
          <t>B6</t>
        </is>
      </c>
      <c r="B15" s="14" t="inlineStr">
        <is>
          <t>T_n</t>
        </is>
      </c>
      <c r="C15" s="15" t="inlineStr">
        <is>
          <t>Header</t>
        </is>
      </c>
    </row>
    <row r="16" ht="14" customHeight="1">
      <c r="A16" s="13" t="inlineStr">
        <is>
          <t>C6</t>
        </is>
      </c>
      <c r="B16" s="14" t="inlineStr">
        <is>
          <t>f(T_n)</t>
        </is>
      </c>
      <c r="C16" s="15" t="inlineStr">
        <is>
          <t>Header</t>
        </is>
      </c>
    </row>
    <row r="17" ht="14" customHeight="1">
      <c r="A17" s="13" t="inlineStr">
        <is>
          <t>D6</t>
        </is>
      </c>
      <c r="B17" s="14" t="inlineStr">
        <is>
          <t>f'(T_n)</t>
        </is>
      </c>
      <c r="C17" s="15" t="inlineStr">
        <is>
          <t>Header</t>
        </is>
      </c>
    </row>
    <row r="18" ht="14" customHeight="1">
      <c r="A18" s="13" t="inlineStr">
        <is>
          <t>E6</t>
        </is>
      </c>
      <c r="B18" s="14" t="inlineStr">
        <is>
          <t>T_{n+1}</t>
        </is>
      </c>
      <c r="C18" s="15" t="inlineStr">
        <is>
          <t>Header</t>
        </is>
      </c>
    </row>
    <row r="19" ht="14" customHeight="1">
      <c r="A19" s="13" t="inlineStr">
        <is>
          <t>A7</t>
        </is>
      </c>
      <c r="B19" s="14" t="inlineStr">
        <is>
          <t>1</t>
        </is>
      </c>
      <c r="C19" s="15" t="inlineStr">
        <is>
          <t>First iter</t>
        </is>
      </c>
    </row>
    <row r="20" ht="14" customHeight="1">
      <c r="A20" s="13" t="inlineStr">
        <is>
          <t>B7</t>
        </is>
      </c>
      <c r="B20" s="14" t="inlineStr">
        <is>
          <t>270</t>
        </is>
      </c>
      <c r="C20" s="15" t="inlineStr">
        <is>
          <t>Initial guess T₀</t>
        </is>
      </c>
    </row>
    <row r="21" ht="14" customHeight="1">
      <c r="A21" s="13" t="inlineStr">
        <is>
          <t>C7</t>
        </is>
      </c>
      <c r="B21" s="16">
        <f>C1*B7+C2*B7^2+C3*B7^4+C4*B7^6-2</f>
        <v/>
      </c>
      <c r="C21" s="15" t="inlineStr">
        <is>
          <t>f(T) formula [R₀=100, target=300 → f=R₀(…)−300, simplified]</t>
        </is>
      </c>
    </row>
    <row r="22" ht="14" customHeight="1">
      <c r="A22" s="13" t="inlineStr">
        <is>
          <t>D7</t>
        </is>
      </c>
      <c r="B22" s="16">
        <f>C1+2*C2*B7+4*C3*B7^3+6*C4*B7^5</f>
        <v/>
      </c>
      <c r="C22" s="15" t="inlineStr">
        <is>
          <t>f'(T) formula</t>
        </is>
      </c>
    </row>
    <row r="23" ht="14" customHeight="1">
      <c r="A23" s="13" t="inlineStr">
        <is>
          <t>E7</t>
        </is>
      </c>
      <c r="B23" s="16">
        <f>B7-C7/D7</f>
        <v/>
      </c>
      <c r="C23" s="15" t="inlineStr">
        <is>
          <t>T_{n+1} = T_n − f/f'</t>
        </is>
      </c>
    </row>
    <row r="24" ht="14" customHeight="1">
      <c r="A24" s="13" t="inlineStr">
        <is>
          <t>A8</t>
        </is>
      </c>
      <c r="B24" s="14" t="inlineStr">
        <is>
          <t>2</t>
        </is>
      </c>
      <c r="C24" s="15" t="inlineStr">
        <is>
          <t>Iter 2</t>
        </is>
      </c>
    </row>
    <row r="25" ht="14" customHeight="1">
      <c r="A25" s="13" t="inlineStr">
        <is>
          <t>B8</t>
        </is>
      </c>
      <c r="B25" s="16">
        <f>E7</f>
        <v/>
      </c>
      <c r="C25" s="15" t="inlineStr">
        <is>
          <t>Copy previous T_{n+1}</t>
        </is>
      </c>
    </row>
    <row r="26" ht="14" customHeight="1">
      <c r="A26" s="13" t="inlineStr">
        <is>
          <t>C8</t>
        </is>
      </c>
      <c r="B26" s="14" t="inlineStr">
        <is>
          <t>(copy formula)</t>
        </is>
      </c>
      <c r="C26" s="15" t="inlineStr"/>
    </row>
    <row r="27" ht="14" customHeight="1">
      <c r="A27" s="13" t="inlineStr">
        <is>
          <t>D8</t>
        </is>
      </c>
      <c r="B27" s="14" t="inlineStr">
        <is>
          <t>(copy)</t>
        </is>
      </c>
      <c r="C27" s="15" t="inlineStr"/>
    </row>
    <row r="28" ht="14" customHeight="1">
      <c r="A28" s="13" t="inlineStr">
        <is>
          <t>E8</t>
        </is>
      </c>
      <c r="B28" s="14" t="inlineStr">
        <is>
          <t>(copy)</t>
        </is>
      </c>
      <c r="C28" s="15" t="inlineStr"/>
    </row>
    <row r="32">
      <c r="A32" s="2" t="inlineStr">
        <is>
          <t>Computed Iterations (Initial Guess T₀ = 270°C)</t>
        </is>
      </c>
    </row>
    <row r="33">
      <c r="A33" s="3" t="inlineStr">
        <is>
          <t>Iteration</t>
        </is>
      </c>
      <c r="B33" s="3" t="inlineStr">
        <is>
          <t>T_n (°C)</t>
        </is>
      </c>
      <c r="C33" s="3" t="inlineStr">
        <is>
          <t>f(T_n)</t>
        </is>
      </c>
      <c r="D33" s="3" t="inlineStr">
        <is>
          <t>f'(T_n)</t>
        </is>
      </c>
      <c r="E33" s="3" t="inlineStr">
        <is>
          <t>T_{n+1} (°C)</t>
        </is>
      </c>
      <c r="F33" s="3" t="inlineStr">
        <is>
          <t>|T_{n+1}−T_n|</t>
        </is>
      </c>
    </row>
    <row r="34" ht="14" customHeight="1">
      <c r="A34" s="13" t="n">
        <v>1</v>
      </c>
      <c r="B34" s="17" t="n">
        <v>270</v>
      </c>
      <c r="C34" s="18" t="n">
        <v>10.70557907</v>
      </c>
      <c r="D34" s="17" t="n">
        <v>1.111225</v>
      </c>
      <c r="E34" s="19" t="n">
        <v>260.365963</v>
      </c>
      <c r="F34" s="20" t="inlineStr">
        <is>
          <t>9.63e+00</t>
        </is>
      </c>
    </row>
    <row r="35" ht="14" customHeight="1">
      <c r="A35" s="13" t="n">
        <v>2</v>
      </c>
      <c r="B35" s="17" t="n">
        <v>260.365963</v>
      </c>
      <c r="C35" s="18" t="n">
        <v>0.15879985</v>
      </c>
      <c r="D35" s="17" t="n">
        <v>1.078465</v>
      </c>
      <c r="E35" s="19" t="n">
        <v>260.218716</v>
      </c>
      <c r="F35" s="20" t="inlineStr">
        <is>
          <t>1.47e-01</t>
        </is>
      </c>
    </row>
    <row r="36" ht="14" customHeight="1">
      <c r="A36" s="13" t="n">
        <v>3</v>
      </c>
      <c r="B36" s="17" t="n">
        <v>260.218716</v>
      </c>
      <c r="C36" s="21" t="n">
        <v>3.616e-05</v>
      </c>
      <c r="D36" s="17" t="n">
        <v>1.077974</v>
      </c>
      <c r="E36" s="22" t="n">
        <v>260.218683</v>
      </c>
      <c r="F36" s="20" t="inlineStr">
        <is>
          <t>3.35e-05</t>
        </is>
      </c>
    </row>
    <row r="37" ht="14" customHeight="1">
      <c r="A37" s="13" t="n">
        <v>4</v>
      </c>
      <c r="B37" s="17" t="n">
        <v>260.218683</v>
      </c>
      <c r="C37" s="21" t="n">
        <v>0</v>
      </c>
      <c r="D37" s="17" t="n">
        <v>1.077974</v>
      </c>
      <c r="E37" s="22" t="n">
        <v>260.218683</v>
      </c>
      <c r="F37" s="23" t="inlineStr">
        <is>
          <t>1.82e-12</t>
        </is>
      </c>
    </row>
    <row r="38" ht="18" customHeight="1">
      <c r="A38" s="24" t="inlineStr">
        <is>
          <t>✓  Converged: T = 260.218683 °C   |   R(260.2187) = 300.0000 Ω</t>
        </is>
      </c>
    </row>
  </sheetData>
  <mergeCells count="28">
    <mergeCell ref="C17:F17"/>
    <mergeCell ref="C23:F23"/>
    <mergeCell ref="C8:F8"/>
    <mergeCell ref="C7:F7"/>
    <mergeCell ref="A3:F3"/>
    <mergeCell ref="C19:F19"/>
    <mergeCell ref="C28:F28"/>
    <mergeCell ref="C13:F13"/>
    <mergeCell ref="C18:F18"/>
    <mergeCell ref="A32:F32"/>
    <mergeCell ref="C6:F6"/>
    <mergeCell ref="C15:F15"/>
    <mergeCell ref="C24:F24"/>
    <mergeCell ref="C5:F5"/>
    <mergeCell ref="C14:F14"/>
    <mergeCell ref="A38:F38"/>
    <mergeCell ref="C20:F20"/>
    <mergeCell ref="C26:F26"/>
    <mergeCell ref="C16:F16"/>
    <mergeCell ref="C25:F25"/>
    <mergeCell ref="C10:F10"/>
    <mergeCell ref="C22:F22"/>
    <mergeCell ref="C9:F9"/>
    <mergeCell ref="A1:F1"/>
    <mergeCell ref="C12:F12"/>
    <mergeCell ref="C21:F21"/>
    <mergeCell ref="C11:F11"/>
    <mergeCell ref="C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22" customHeight="1">
      <c r="A1" s="25" t="inlineStr">
        <is>
          <t>2b – Interval Bisection Method  |  mid = (a+b)/2</t>
        </is>
      </c>
    </row>
    <row r="3">
      <c r="A3" s="2" t="inlineStr">
        <is>
          <t>Bisection Iterations  (bracket [200, 400], tolerance 1×10⁻⁸)</t>
        </is>
      </c>
    </row>
    <row r="4">
      <c r="A4" s="3" t="inlineStr">
        <is>
          <t>Iteration</t>
        </is>
      </c>
      <c r="B4" s="3" t="inlineStr">
        <is>
          <t>a (°C)</t>
        </is>
      </c>
      <c r="C4" s="3" t="inlineStr">
        <is>
          <t>b (°C)</t>
        </is>
      </c>
      <c r="D4" s="3" t="inlineStr">
        <is>
          <t>mid (°C)</t>
        </is>
      </c>
      <c r="E4" s="3" t="inlineStr">
        <is>
          <t>f(mid)</t>
        </is>
      </c>
      <c r="F4" s="3" t="inlineStr">
        <is>
          <t>Interval width</t>
        </is>
      </c>
    </row>
    <row r="5" ht="13" customHeight="1">
      <c r="A5" s="13" t="n">
        <v>1</v>
      </c>
      <c r="B5" s="17" t="n">
        <v>200</v>
      </c>
      <c r="C5" s="17" t="n">
        <v>400</v>
      </c>
      <c r="D5" s="19" t="n">
        <v>300</v>
      </c>
      <c r="E5" s="18" t="n">
        <v>45.6625</v>
      </c>
      <c r="F5" s="26" t="n">
        <v>200</v>
      </c>
    </row>
    <row r="6" ht="13" customHeight="1">
      <c r="A6" s="13" t="n">
        <v>2</v>
      </c>
      <c r="B6" s="17" t="n">
        <v>200</v>
      </c>
      <c r="C6" s="17" t="n">
        <v>300</v>
      </c>
      <c r="D6" s="19" t="n">
        <v>250</v>
      </c>
      <c r="E6" s="18" t="n">
        <v>-10.84375</v>
      </c>
      <c r="F6" s="26" t="n">
        <v>100</v>
      </c>
    </row>
    <row r="7" ht="13" customHeight="1">
      <c r="A7" s="13" t="n">
        <v>3</v>
      </c>
      <c r="B7" s="17" t="n">
        <v>250</v>
      </c>
      <c r="C7" s="17" t="n">
        <v>300</v>
      </c>
      <c r="D7" s="19" t="n">
        <v>275</v>
      </c>
      <c r="E7" s="18" t="n">
        <v>16.30529443</v>
      </c>
      <c r="F7" s="26" t="n">
        <v>50</v>
      </c>
    </row>
    <row r="8" ht="13" customHeight="1">
      <c r="A8" s="13" t="n">
        <v>4</v>
      </c>
      <c r="B8" s="17" t="n">
        <v>250</v>
      </c>
      <c r="C8" s="17" t="n">
        <v>275</v>
      </c>
      <c r="D8" s="19" t="n">
        <v>262.5</v>
      </c>
      <c r="E8" s="18" t="n">
        <v>2.46790264</v>
      </c>
      <c r="F8" s="26" t="n">
        <v>25</v>
      </c>
    </row>
    <row r="9" ht="13" customHeight="1">
      <c r="A9" s="13" t="n">
        <v>5</v>
      </c>
      <c r="B9" s="17" t="n">
        <v>250</v>
      </c>
      <c r="C9" s="17" t="n">
        <v>262.5</v>
      </c>
      <c r="D9" s="19" t="n">
        <v>256.25</v>
      </c>
      <c r="E9" s="18" t="n">
        <v>-4.25201765</v>
      </c>
      <c r="F9" s="26" t="n">
        <v>12.5</v>
      </c>
    </row>
    <row r="10" ht="13" customHeight="1">
      <c r="A10" s="13" t="n">
        <v>6</v>
      </c>
      <c r="B10" s="17" t="n">
        <v>256.25</v>
      </c>
      <c r="C10" s="17" t="n">
        <v>262.5</v>
      </c>
      <c r="D10" s="19" t="n">
        <v>259.375</v>
      </c>
      <c r="E10" s="27" t="n">
        <v>-0.90828283</v>
      </c>
      <c r="F10" s="26" t="n">
        <v>6.25</v>
      </c>
    </row>
    <row r="11" ht="13" customHeight="1">
      <c r="A11" s="13" t="n">
        <v>7</v>
      </c>
      <c r="B11" s="17" t="n">
        <v>259.375</v>
      </c>
      <c r="C11" s="17" t="n">
        <v>262.5</v>
      </c>
      <c r="D11" s="19" t="n">
        <v>260.9375</v>
      </c>
      <c r="E11" s="27" t="n">
        <v>0.77572824</v>
      </c>
      <c r="F11" s="26" t="n">
        <v>3.125</v>
      </c>
    </row>
    <row r="12" ht="13" customHeight="1">
      <c r="A12" s="13" t="n">
        <v>8</v>
      </c>
      <c r="B12" s="17" t="n">
        <v>259.375</v>
      </c>
      <c r="C12" s="17" t="n">
        <v>260.9375</v>
      </c>
      <c r="D12" s="19" t="n">
        <v>260.15625</v>
      </c>
      <c r="E12" s="27" t="n">
        <v>-0.06729454</v>
      </c>
      <c r="F12" s="26" t="n">
        <v>1.5625</v>
      </c>
    </row>
    <row r="13" ht="13" customHeight="1">
      <c r="A13" s="13" t="n">
        <v>9</v>
      </c>
      <c r="B13" s="17" t="n">
        <v>260.15625</v>
      </c>
      <c r="C13" s="17" t="n">
        <v>260.9375</v>
      </c>
      <c r="D13" s="19" t="n">
        <v>260.546875</v>
      </c>
      <c r="E13" s="27" t="n">
        <v>0.35396215</v>
      </c>
      <c r="F13" s="26" t="n">
        <v>0.78125</v>
      </c>
    </row>
    <row r="14" ht="13" customHeight="1">
      <c r="A14" s="13" t="n">
        <v>10</v>
      </c>
      <c r="B14" s="17" t="n">
        <v>260.15625</v>
      </c>
      <c r="C14" s="17" t="n">
        <v>260.546875</v>
      </c>
      <c r="D14" s="19" t="n">
        <v>260.351562</v>
      </c>
      <c r="E14" s="27" t="n">
        <v>0.14327018</v>
      </c>
      <c r="F14" s="26" t="n">
        <v>0.390625</v>
      </c>
    </row>
    <row r="15" ht="13" customHeight="1">
      <c r="A15" s="13" t="n">
        <v>11</v>
      </c>
      <c r="B15" s="17" t="n">
        <v>260.15625</v>
      </c>
      <c r="C15" s="17" t="n">
        <v>260.351562</v>
      </c>
      <c r="D15" s="19" t="n">
        <v>260.253906</v>
      </c>
      <c r="E15" s="27" t="n">
        <v>0.03797192</v>
      </c>
      <c r="F15" s="26" t="n">
        <v>0.1953125</v>
      </c>
    </row>
    <row r="16" ht="13" customHeight="1">
      <c r="A16" s="13" t="n">
        <v>12</v>
      </c>
      <c r="B16" s="17" t="n">
        <v>260.15625</v>
      </c>
      <c r="C16" s="17" t="n">
        <v>260.253906</v>
      </c>
      <c r="D16" s="19" t="n">
        <v>260.205078</v>
      </c>
      <c r="E16" s="27" t="n">
        <v>-0.01466528</v>
      </c>
      <c r="F16" s="26" t="n">
        <v>0.09765625</v>
      </c>
    </row>
    <row r="17" ht="13" customHeight="1">
      <c r="A17" s="13" t="n">
        <v>13</v>
      </c>
      <c r="B17" s="17" t="n">
        <v>260.205078</v>
      </c>
      <c r="C17" s="17" t="n">
        <v>260.253906</v>
      </c>
      <c r="D17" s="19" t="n">
        <v>260.229492</v>
      </c>
      <c r="E17" s="27" t="n">
        <v>0.01165232</v>
      </c>
      <c r="F17" s="26" t="n">
        <v>0.04882812</v>
      </c>
    </row>
    <row r="18" ht="13" customHeight="1">
      <c r="A18" s="13" t="n">
        <v>14</v>
      </c>
      <c r="B18" s="17" t="n">
        <v>260.205078</v>
      </c>
      <c r="C18" s="17" t="n">
        <v>260.229492</v>
      </c>
      <c r="D18" s="19" t="n">
        <v>260.217285</v>
      </c>
      <c r="E18" s="27" t="n">
        <v>-0.00150673</v>
      </c>
      <c r="F18" s="26" t="n">
        <v>0.02441406</v>
      </c>
    </row>
    <row r="19" ht="13" customHeight="1">
      <c r="A19" s="13" t="n">
        <v>15</v>
      </c>
      <c r="B19" s="17" t="n">
        <v>260.217285</v>
      </c>
      <c r="C19" s="17" t="n">
        <v>260.229492</v>
      </c>
      <c r="D19" s="19" t="n">
        <v>260.223389</v>
      </c>
      <c r="E19" s="27" t="n">
        <v>0.00507274</v>
      </c>
      <c r="F19" s="26" t="n">
        <v>0.01220703</v>
      </c>
    </row>
    <row r="20" ht="13" customHeight="1">
      <c r="A20" s="13" t="n">
        <v>16</v>
      </c>
      <c r="B20" s="17" t="n">
        <v>260.217285</v>
      </c>
      <c r="C20" s="17" t="n">
        <v>260.223389</v>
      </c>
      <c r="D20" s="19" t="n">
        <v>260.220337</v>
      </c>
      <c r="E20" s="27" t="n">
        <v>0.00178299</v>
      </c>
      <c r="F20" s="26" t="n">
        <v>0.00610352</v>
      </c>
    </row>
    <row r="21" ht="13" customHeight="1">
      <c r="A21" s="13" t="n">
        <v>17</v>
      </c>
      <c r="B21" s="17" t="n">
        <v>260.217285</v>
      </c>
      <c r="C21" s="17" t="n">
        <v>260.220337</v>
      </c>
      <c r="D21" s="28" t="n">
        <v>260.218811</v>
      </c>
      <c r="E21" s="21" t="n">
        <v>0.00013813</v>
      </c>
      <c r="F21" s="26" t="n">
        <v>0.00305176</v>
      </c>
    </row>
    <row r="22" ht="13" customHeight="1">
      <c r="A22" s="13" t="n">
        <v>18</v>
      </c>
      <c r="B22" s="17" t="n">
        <v>260.217285</v>
      </c>
      <c r="C22" s="17" t="n">
        <v>260.218811</v>
      </c>
      <c r="D22" s="28" t="n">
        <v>260.218048</v>
      </c>
      <c r="E22" s="21" t="n">
        <v>-0.0006843</v>
      </c>
      <c r="F22" s="26" t="n">
        <v>0.00152588</v>
      </c>
    </row>
    <row r="23" ht="13" customHeight="1">
      <c r="A23" s="13" t="n">
        <v>19</v>
      </c>
      <c r="B23" s="17" t="n">
        <v>260.218048</v>
      </c>
      <c r="C23" s="17" t="n">
        <v>260.218811</v>
      </c>
      <c r="D23" s="28" t="n">
        <v>260.21843</v>
      </c>
      <c r="E23" s="21" t="n">
        <v>-0.00027309</v>
      </c>
      <c r="F23" s="26" t="n">
        <v>0.00076294</v>
      </c>
    </row>
    <row r="24" ht="13" customHeight="1">
      <c r="A24" s="13" t="n">
        <v>20</v>
      </c>
      <c r="B24" s="17" t="n">
        <v>260.21843</v>
      </c>
      <c r="C24" s="17" t="n">
        <v>260.218811</v>
      </c>
      <c r="D24" s="28" t="n">
        <v>260.21862</v>
      </c>
      <c r="E24" s="21" t="n">
        <v>-6.748e-05</v>
      </c>
      <c r="F24" s="26" t="n">
        <v>0.00038147</v>
      </c>
    </row>
    <row r="25" ht="13" customHeight="1">
      <c r="A25" s="13" t="n">
        <v>21</v>
      </c>
      <c r="B25" s="17" t="n">
        <v>260.21862</v>
      </c>
      <c r="C25" s="17" t="n">
        <v>260.218811</v>
      </c>
      <c r="D25" s="28" t="n">
        <v>260.218716</v>
      </c>
      <c r="E25" s="21" t="n">
        <v>3.532e-05</v>
      </c>
      <c r="F25" s="26" t="n">
        <v>0.00019073</v>
      </c>
    </row>
    <row r="26" ht="13" customHeight="1">
      <c r="A26" s="13" t="n">
        <v>22</v>
      </c>
      <c r="B26" s="17" t="n">
        <v>260.21862</v>
      </c>
      <c r="C26" s="17" t="n">
        <v>260.218716</v>
      </c>
      <c r="D26" s="28" t="n">
        <v>260.218668</v>
      </c>
      <c r="E26" s="21" t="n">
        <v>-1.608e-05</v>
      </c>
      <c r="F26" s="29" t="n">
        <v>9.537e-05</v>
      </c>
    </row>
    <row r="27" ht="13" customHeight="1">
      <c r="A27" s="13" t="n">
        <v>23</v>
      </c>
      <c r="B27" s="17" t="n">
        <v>260.218668</v>
      </c>
      <c r="C27" s="17" t="n">
        <v>260.218716</v>
      </c>
      <c r="D27" s="28" t="n">
        <v>260.218692</v>
      </c>
      <c r="E27" s="21" t="n">
        <v>9.619999999999999e-06</v>
      </c>
      <c r="F27" s="29" t="n">
        <v>4.768e-05</v>
      </c>
    </row>
    <row r="28" ht="13" customHeight="1">
      <c r="A28" s="13" t="n">
        <v>24</v>
      </c>
      <c r="B28" s="17" t="n">
        <v>260.218668</v>
      </c>
      <c r="C28" s="17" t="n">
        <v>260.218692</v>
      </c>
      <c r="D28" s="28" t="n">
        <v>260.21868</v>
      </c>
      <c r="E28" s="21" t="n">
        <v>-3.23e-06</v>
      </c>
      <c r="F28" s="29" t="n">
        <v>2.384e-05</v>
      </c>
    </row>
    <row r="29" ht="13" customHeight="1">
      <c r="A29" s="13" t="n">
        <v>25</v>
      </c>
      <c r="B29" s="17" t="n">
        <v>260.21868</v>
      </c>
      <c r="C29" s="17" t="n">
        <v>260.218692</v>
      </c>
      <c r="D29" s="28" t="n">
        <v>260.218686</v>
      </c>
      <c r="E29" s="21" t="n">
        <v>3.2e-06</v>
      </c>
      <c r="F29" s="29" t="n">
        <v>1.192e-05</v>
      </c>
    </row>
    <row r="30" ht="13" customHeight="1">
      <c r="A30" s="13" t="n">
        <v>26</v>
      </c>
      <c r="B30" s="17" t="n">
        <v>260.21868</v>
      </c>
      <c r="C30" s="17" t="n">
        <v>260.218686</v>
      </c>
      <c r="D30" s="28" t="n">
        <v>260.218683</v>
      </c>
      <c r="E30" s="21" t="n">
        <v>-2e-08</v>
      </c>
      <c r="F30" s="29" t="n">
        <v>5.96e-06</v>
      </c>
    </row>
    <row r="31" ht="13" customHeight="1">
      <c r="A31" s="13" t="n">
        <v>27</v>
      </c>
      <c r="B31" s="17" t="n">
        <v>260.218683</v>
      </c>
      <c r="C31" s="17" t="n">
        <v>260.218686</v>
      </c>
      <c r="D31" s="28" t="n">
        <v>260.218684</v>
      </c>
      <c r="E31" s="21" t="n">
        <v>1.59e-06</v>
      </c>
      <c r="F31" s="29" t="n">
        <v>2.98e-06</v>
      </c>
    </row>
    <row r="32" ht="13" customHeight="1">
      <c r="A32" s="13" t="n">
        <v>28</v>
      </c>
      <c r="B32" s="17" t="n">
        <v>260.218683</v>
      </c>
      <c r="C32" s="17" t="n">
        <v>260.218684</v>
      </c>
      <c r="D32" s="28" t="n">
        <v>260.218684</v>
      </c>
      <c r="E32" s="21" t="n">
        <v>7.9e-07</v>
      </c>
      <c r="F32" s="29" t="n">
        <v>1.49e-06</v>
      </c>
    </row>
    <row r="33" ht="13" customHeight="1">
      <c r="A33" s="13" t="n">
        <v>29</v>
      </c>
      <c r="B33" s="17" t="n">
        <v>260.218683</v>
      </c>
      <c r="C33" s="17" t="n">
        <v>260.218684</v>
      </c>
      <c r="D33" s="28" t="n">
        <v>260.218683</v>
      </c>
      <c r="E33" s="21" t="n">
        <v>3.9e-07</v>
      </c>
      <c r="F33" s="29" t="n">
        <v>7.5e-07</v>
      </c>
    </row>
    <row r="34" ht="13" customHeight="1">
      <c r="A34" s="13" t="n">
        <v>30</v>
      </c>
      <c r="B34" s="17" t="n">
        <v>260.218683</v>
      </c>
      <c r="C34" s="17" t="n">
        <v>260.218683</v>
      </c>
      <c r="D34" s="28" t="n">
        <v>260.218683</v>
      </c>
      <c r="E34" s="21" t="n">
        <v>1.9e-07</v>
      </c>
      <c r="F34" s="29" t="n">
        <v>3.7e-07</v>
      </c>
    </row>
    <row r="35" ht="13" customHeight="1">
      <c r="A35" s="13" t="n">
        <v>31</v>
      </c>
      <c r="B35" s="17" t="n">
        <v>260.218683</v>
      </c>
      <c r="C35" s="17" t="n">
        <v>260.218683</v>
      </c>
      <c r="D35" s="28" t="n">
        <v>260.218683</v>
      </c>
      <c r="E35" s="21" t="n">
        <v>8e-08</v>
      </c>
      <c r="F35" s="29" t="n">
        <v>1.9e-07</v>
      </c>
    </row>
    <row r="36" ht="13" customHeight="1">
      <c r="A36" s="13" t="n">
        <v>32</v>
      </c>
      <c r="B36" s="17" t="n">
        <v>260.218683</v>
      </c>
      <c r="C36" s="17" t="n">
        <v>260.218683</v>
      </c>
      <c r="D36" s="28" t="n">
        <v>260.218683</v>
      </c>
      <c r="E36" s="21" t="n">
        <v>3e-08</v>
      </c>
      <c r="F36" s="29" t="n">
        <v>9e-08</v>
      </c>
    </row>
    <row r="37" ht="13" customHeight="1">
      <c r="A37" s="13" t="n">
        <v>33</v>
      </c>
      <c r="B37" s="17" t="n">
        <v>260.218683</v>
      </c>
      <c r="C37" s="17" t="n">
        <v>260.218683</v>
      </c>
      <c r="D37" s="28" t="n">
        <v>260.218683</v>
      </c>
      <c r="E37" s="21" t="n">
        <v>1e-08</v>
      </c>
      <c r="F37" s="29" t="n">
        <v>5e-08</v>
      </c>
    </row>
    <row r="38" ht="18" customHeight="1">
      <c r="A38" s="24" t="inlineStr">
        <is>
          <t>✓  Converged after 33 iterations: T = 260.218683 °C   |   R = 300.0000 Ω</t>
        </is>
      </c>
    </row>
  </sheetData>
  <mergeCells count="3">
    <mergeCell ref="A3:F3"/>
    <mergeCell ref="A38:F3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RTD Problem – Solution Summary &amp; Method Comparison</t>
        </is>
      </c>
    </row>
    <row r="3" ht="22" customHeight="1">
      <c r="A3" s="30" t="inlineStr">
        <is>
          <t>Answer: T = 260.2187 °C  when R_T = 300 Ω</t>
        </is>
      </c>
    </row>
    <row r="5">
      <c r="A5" s="31" t="inlineStr">
        <is>
          <t>Criterion</t>
        </is>
      </c>
      <c r="B5" s="31" t="inlineStr">
        <is>
          <t>Newton-Raphson</t>
        </is>
      </c>
      <c r="C5" s="31" t="inlineStr">
        <is>
          <t>Bisection</t>
        </is>
      </c>
      <c r="D5" s="31" t="inlineStr">
        <is>
          <t>Winner</t>
        </is>
      </c>
    </row>
    <row r="6" ht="16" customHeight="1">
      <c r="A6" s="13" t="inlineStr">
        <is>
          <t>Iterations to converge</t>
        </is>
      </c>
      <c r="B6" s="20" t="inlineStr">
        <is>
          <t>4</t>
        </is>
      </c>
      <c r="C6" s="8" t="inlineStr">
        <is>
          <t>33</t>
        </is>
      </c>
      <c r="D6" s="32" t="inlineStr">
        <is>
          <t>Newton-Raphson</t>
        </is>
      </c>
    </row>
    <row r="7" ht="16" customHeight="1">
      <c r="A7" s="13" t="inlineStr">
        <is>
          <t>Final T (°C)</t>
        </is>
      </c>
      <c r="B7" s="20" t="inlineStr">
        <is>
          <t>260.218683</t>
        </is>
      </c>
      <c r="C7" s="8" t="inlineStr">
        <is>
          <t>260.218683</t>
        </is>
      </c>
      <c r="D7" s="32" t="inlineStr">
        <is>
          <t>Both identical</t>
        </is>
      </c>
    </row>
    <row r="8" ht="16" customHeight="1">
      <c r="A8" s="13" t="inlineStr">
        <is>
          <t>Convergence rate</t>
        </is>
      </c>
      <c r="B8" s="20" t="inlineStr">
        <is>
          <t>Quadratic (fast)</t>
        </is>
      </c>
      <c r="C8" s="8" t="inlineStr">
        <is>
          <t>Linear (slow)</t>
        </is>
      </c>
      <c r="D8" s="32" t="inlineStr">
        <is>
          <t>Newton-Raphson</t>
        </is>
      </c>
    </row>
    <row r="9" ht="16" customHeight="1">
      <c r="A9" s="13" t="inlineStr">
        <is>
          <t>Requires derivative?</t>
        </is>
      </c>
      <c r="B9" s="20" t="inlineStr">
        <is>
          <t>Yes — f'(T)</t>
        </is>
      </c>
      <c r="C9" s="8" t="inlineStr">
        <is>
          <t>No</t>
        </is>
      </c>
      <c r="D9" s="32" t="inlineStr">
        <is>
          <t>Bisection</t>
        </is>
      </c>
    </row>
    <row r="10" ht="16" customHeight="1">
      <c r="A10" s="13" t="inlineStr">
        <is>
          <t>Guaranteed convergence?</t>
        </is>
      </c>
      <c r="B10" s="20" t="inlineStr">
        <is>
          <t>Not always</t>
        </is>
      </c>
      <c r="C10" s="8" t="inlineStr">
        <is>
          <t>Yes (if bracket)</t>
        </is>
      </c>
      <c r="D10" s="32" t="inlineStr">
        <is>
          <t>Bisection</t>
        </is>
      </c>
    </row>
    <row r="11" ht="16" customHeight="1">
      <c r="A11" s="13" t="inlineStr">
        <is>
          <t>Starting requirement</t>
        </is>
      </c>
      <c r="B11" s="20" t="inlineStr">
        <is>
          <t>Initial guess T₀</t>
        </is>
      </c>
      <c r="C11" s="8" t="inlineStr">
        <is>
          <t>Bracket [a,b]</t>
        </is>
      </c>
      <c r="D11" s="32" t="inlineStr">
        <is>
          <t>Depends on problem</t>
        </is>
      </c>
    </row>
    <row r="13">
      <c r="A13" s="2" t="inlineStr">
        <is>
          <t>Verification</t>
        </is>
      </c>
    </row>
    <row r="14" ht="20" customHeight="1">
      <c r="A14" s="33" t="inlineStr">
        <is>
          <t>R(260.2187°C) = 100×(1 + 5.485×10⁻³×T + … ) = 300.0000 Ω  ✓</t>
        </is>
      </c>
    </row>
  </sheetData>
  <mergeCells count="4">
    <mergeCell ref="A1:D1"/>
    <mergeCell ref="A13:D13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2026-03-28T20:06:34Z</dcterms:created>
  <dcterms:modified xmlns:dcterms="http://purl.org/dc/terms/" xmlns:xsi="http://www.w3.org/2001/XMLSchema-instance" xsi:type="dcterms:W3CDTF">2026-03-28T20:06:34Z</dcterms:modified>
</cp:coreProperties>
</file>